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utuja\Downloads\"/>
    </mc:Choice>
  </mc:AlternateContent>
  <xr:revisionPtr revIDLastSave="0" documentId="13_ncr:1_{97C895A6-868F-4089-8826-42FFBF4D5178}" xr6:coauthVersionLast="47" xr6:coauthVersionMax="47" xr10:uidLastSave="{00000000-0000-0000-0000-000000000000}"/>
  <bookViews>
    <workbookView xWindow="-108" yWindow="-108" windowWidth="23256" windowHeight="12456" firstSheet="4" activeTab="8" xr2:uid="{EDE2BDDA-38C3-4A8C-B9AC-D658AD20962D}"/>
  </bookViews>
  <sheets>
    <sheet name="Project Overview" sheetId="1" r:id="rId1"/>
    <sheet name="Asset Inventory" sheetId="2" r:id="rId2"/>
    <sheet name="Risk Register" sheetId="3" r:id="rId3"/>
    <sheet name="Risk Treatment" sheetId="6" r:id="rId4"/>
    <sheet name="Control Testing" sheetId="7" r:id="rId5"/>
    <sheet name="Evidence Tracker" sheetId="8" r:id="rId6"/>
    <sheet name="Finding Tracker" sheetId="9" r:id="rId7"/>
    <sheet name="Security Compliance Tracker" sheetId="11" r:id="rId8"/>
    <sheet name="Dashboard" sheetId="13" r:id="rId9"/>
  </sheet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2" i="3"/>
  <c r="F3" i="3"/>
  <c r="F4" i="3"/>
  <c r="F5" i="3"/>
  <c r="F6" i="3"/>
  <c r="F2" i="3"/>
</calcChain>
</file>

<file path=xl/sharedStrings.xml><?xml version="1.0" encoding="utf-8"?>
<sst xmlns="http://schemas.openxmlformats.org/spreadsheetml/2006/main" count="275" uniqueCount="161">
  <si>
    <t>Value</t>
  </si>
  <si>
    <t>Project Name</t>
  </si>
  <si>
    <t>ISO 27001 Risk Assessment &amp; Compliance</t>
  </si>
  <si>
    <t>Company Name</t>
  </si>
  <si>
    <t>CloudFlow Technologies Pvt. Ltd.</t>
  </si>
  <si>
    <t>Project Type</t>
  </si>
  <si>
    <t>Practical Simulation</t>
  </si>
  <si>
    <t>Framework</t>
  </si>
  <si>
    <t>ISO/IEC 27001:2022</t>
  </si>
  <si>
    <t>Objective</t>
  </si>
  <si>
    <t>Identify risks and assess security controls</t>
  </si>
  <si>
    <t>Tool Used</t>
  </si>
  <si>
    <t>Microsoft Excel</t>
  </si>
  <si>
    <t>Project Status</t>
  </si>
  <si>
    <t>In Progress</t>
  </si>
  <si>
    <t>Project Details</t>
  </si>
  <si>
    <t>Asset ID</t>
  </si>
  <si>
    <t>Asset Name</t>
  </si>
  <si>
    <t>Asset Type</t>
  </si>
  <si>
    <t>Asset Owner</t>
  </si>
  <si>
    <t>Confidentiality</t>
  </si>
  <si>
    <t>Remarks</t>
  </si>
  <si>
    <t>AST-001</t>
  </si>
  <si>
    <t>Customer Database</t>
  </si>
  <si>
    <t>Database</t>
  </si>
  <si>
    <t>IT Team</t>
  </si>
  <si>
    <t>High</t>
  </si>
  <si>
    <t>Contains customer information</t>
  </si>
  <si>
    <t>AST-002</t>
  </si>
  <si>
    <t>Employee Accounts</t>
  </si>
  <si>
    <t>User Accounts</t>
  </si>
  <si>
    <t>HR Team</t>
  </si>
  <si>
    <t>Contains employee information</t>
  </si>
  <si>
    <t>AST-003</t>
  </si>
  <si>
    <t>Company Application</t>
  </si>
  <si>
    <t>Application</t>
  </si>
  <si>
    <t>Medium</t>
  </si>
  <si>
    <t>Used for business operations</t>
  </si>
  <si>
    <t>AST-004</t>
  </si>
  <si>
    <t>Employee Laptops</t>
  </si>
  <si>
    <t>Hardware</t>
  </si>
  <si>
    <t>Used by employees for work</t>
  </si>
  <si>
    <t>AST-005</t>
  </si>
  <si>
    <t>Company Email</t>
  </si>
  <si>
    <t>System</t>
  </si>
  <si>
    <t>Used for business communication</t>
  </si>
  <si>
    <t>Risk ID</t>
  </si>
  <si>
    <t>Risk Description</t>
  </si>
  <si>
    <t>Likelihood</t>
  </si>
  <si>
    <t>Impact</t>
  </si>
  <si>
    <t>Risk Score</t>
  </si>
  <si>
    <t>Risk Level</t>
  </si>
  <si>
    <t>Risk Treatment</t>
  </si>
  <si>
    <t>RSK-001</t>
  </si>
  <si>
    <t>Unauthorized access to customer data</t>
  </si>
  <si>
    <t>Mitigate</t>
  </si>
  <si>
    <t>RSK-002</t>
  </si>
  <si>
    <t>Excessive user access permissions</t>
  </si>
  <si>
    <t>RSK-003</t>
  </si>
  <si>
    <t>Security vulnerability in application</t>
  </si>
  <si>
    <t>RSK-004</t>
  </si>
  <si>
    <t>Loss of laptop containing company data</t>
  </si>
  <si>
    <t>RSK-005</t>
  </si>
  <si>
    <t>Phishing attack on employee email</t>
  </si>
  <si>
    <t>Treatment Strategy</t>
  </si>
  <si>
    <t>Remediation Action</t>
  </si>
  <si>
    <t>Responsible Team</t>
  </si>
  <si>
    <t>Status</t>
  </si>
  <si>
    <t>Enable MFA for all customer database users</t>
  </si>
  <si>
    <t>IT Security</t>
  </si>
  <si>
    <t>Remove unnecessary access permissions</t>
  </si>
  <si>
    <t>Open</t>
  </si>
  <si>
    <t>Perform vulnerability assessment and fix identified issues</t>
  </si>
  <si>
    <t>Application Team</t>
  </si>
  <si>
    <t>Enable device encryption and remote lock</t>
  </si>
  <si>
    <t>Conduct phishing awareness training and enable email protection</t>
  </si>
  <si>
    <t>Test ID</t>
  </si>
  <si>
    <t>Security Control</t>
  </si>
  <si>
    <t>Test Result</t>
  </si>
  <si>
    <t>Evidence</t>
  </si>
  <si>
    <t>CTL-001</t>
  </si>
  <si>
    <t>Multi-Factor Authentication</t>
  </si>
  <si>
    <t>Fail</t>
  </si>
  <si>
    <t>MFA report shows 3 accounts without MFA</t>
  </si>
  <si>
    <t>CTL-002</t>
  </si>
  <si>
    <t>Access Review</t>
  </si>
  <si>
    <t>Access review shows excessive user permissions</t>
  </si>
  <si>
    <t>CTL-003</t>
  </si>
  <si>
    <t>Vulnerability Assessment</t>
  </si>
  <si>
    <t>Pass</t>
  </si>
  <si>
    <t>Vulnerability assessment report reviewed</t>
  </si>
  <si>
    <t>Closed</t>
  </si>
  <si>
    <t>CTL-004</t>
  </si>
  <si>
    <t>Device Encryption</t>
  </si>
  <si>
    <t>Encryption status report reviewed</t>
  </si>
  <si>
    <t>CTL-005</t>
  </si>
  <si>
    <t>Security Awareness Training</t>
  </si>
  <si>
    <t>Training report shows incomplete employee training</t>
  </si>
  <si>
    <t>Evidence ID</t>
  </si>
  <si>
    <t>Related Control</t>
  </si>
  <si>
    <t>Evidence Name</t>
  </si>
  <si>
    <t>Requested From</t>
  </si>
  <si>
    <t>Date Requested</t>
  </si>
  <si>
    <t>Evidence Status</t>
  </si>
  <si>
    <t>Review Result</t>
  </si>
  <si>
    <t>EV-001</t>
  </si>
  <si>
    <t>MFA Status Report</t>
  </si>
  <si>
    <t>Received</t>
  </si>
  <si>
    <t>3 accounts do not have MFA enabled</t>
  </si>
  <si>
    <t>EV-002</t>
  </si>
  <si>
    <t>User Access Review Report</t>
  </si>
  <si>
    <t>Excessive access identified</t>
  </si>
  <si>
    <t>EV-003</t>
  </si>
  <si>
    <t>Vulnerability Assessment Report</t>
  </si>
  <si>
    <t>Report reviewed</t>
  </si>
  <si>
    <t>EV-004</t>
  </si>
  <si>
    <t>Device Encryption Report</t>
  </si>
  <si>
    <t>Encryption verified</t>
  </si>
  <si>
    <t>EV-005</t>
  </si>
  <si>
    <t>Security Training Report</t>
  </si>
  <si>
    <t>Some employees have incomplete training</t>
  </si>
  <si>
    <t>Finding ID</t>
  </si>
  <si>
    <t>Finding Description</t>
  </si>
  <si>
    <t>Severity</t>
  </si>
  <si>
    <t>Due Date</t>
  </si>
  <si>
    <t>FND-001</t>
  </si>
  <si>
    <t>MFA is not enabled for 3 customer database accounts</t>
  </si>
  <si>
    <t>Enable MFA for all customer database accounts</t>
  </si>
  <si>
    <t>FND-002</t>
  </si>
  <si>
    <t>User has access beyond assigned job role</t>
  </si>
  <si>
    <t>FND-005</t>
  </si>
  <si>
    <t>Some employees have incomplete security awareness training</t>
  </si>
  <si>
    <t>Complete training and retain completion evidence</t>
  </si>
  <si>
    <t>Related Risk ID</t>
  </si>
  <si>
    <t>Control ID</t>
  </si>
  <si>
    <t>Security Requirement</t>
  </si>
  <si>
    <t>Evidence Reviewed</t>
  </si>
  <si>
    <t>Result</t>
  </si>
  <si>
    <t>CMP-001</t>
  </si>
  <si>
    <t>3 customer database accounts do not have MFA</t>
  </si>
  <si>
    <t>CMP-002</t>
  </si>
  <si>
    <t>User Access Review</t>
  </si>
  <si>
    <t>Excessive user permissions identified</t>
  </si>
  <si>
    <t>CMP-003</t>
  </si>
  <si>
    <t>Assessment report reviewed</t>
  </si>
  <si>
    <t>CMP-004</t>
  </si>
  <si>
    <t>Encryption status verified</t>
  </si>
  <si>
    <t>CMP-005</t>
  </si>
  <si>
    <t>Total Risks</t>
  </si>
  <si>
    <t>High Risks</t>
  </si>
  <si>
    <t>Medium Risks</t>
  </si>
  <si>
    <t>Controls Tested</t>
  </si>
  <si>
    <t>Controls Passed</t>
  </si>
  <si>
    <t>Controls Failed</t>
  </si>
  <si>
    <t>Total Findings</t>
  </si>
  <si>
    <t>Completed</t>
  </si>
  <si>
    <t>Row Labels</t>
  </si>
  <si>
    <t>Grand Total</t>
  </si>
  <si>
    <t xml:space="preserve">Metric </t>
  </si>
  <si>
    <t xml:space="preserve">Count </t>
  </si>
  <si>
    <t xml:space="preserve">Sum of 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</si>
</sst>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75"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0"/>
      </font>
    </dxf>
    <dxf>
      <fill>
        <patternFill patternType="solid">
          <bgColor rgb="FF002060"/>
        </patternFill>
      </fill>
    </dxf>
    <dxf>
      <font>
        <color theme="0"/>
      </font>
    </dxf>
    <dxf>
      <fill>
        <patternFill patternType="solid">
          <bgColor rgb="FF002060"/>
        </patternFill>
      </fill>
    </dxf>
  </dxfs>
  <tableStyles count="0" defaultTableStyle="TableStyleMedium2" defaultPivotStyle="PivotStyleLight16"/>
  <colors>
    <mruColors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[ISO27001_GRC_Project.xlsb.xlsx]Dashboard!PivotTable3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Audit</a:t>
            </a:r>
            <a:r>
              <a:rPr lang="en-US" b="1" baseline="0"/>
              <a:t> Finding &amp; Control Status</a:t>
            </a:r>
            <a:endParaRPr lang="en-US" b="1"/>
          </a:p>
        </c:rich>
      </c:tx>
      <c:layout>
        <c:manualLayout>
          <c:xMode val="edge"/>
          <c:yMode val="edge"/>
          <c:x val="0.30216878830740218"/>
          <c:y val="5.01681179872882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33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75868239242372"/>
              <c:y val="0.1359588070839413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DDE3DF1-5C40-4C2F-9CAB-F9A4213A284C}" type="CATEGORYNAME">
                  <a:rPr lang="en-US" b="1"/>
                  <a:pPr>
                    <a:defRPr sz="1000" b="1"/>
                  </a:pPr>
                  <a:t>[CATEGORY NAME]</a:t>
                </a:fld>
                <a:r>
                  <a:rPr lang="en-US" baseline="0"/>
                  <a:t>
</a:t>
                </a:r>
                <a:fld id="{C5C75178-80AA-451C-8AB2-EEB3F55A68FA}" type="PERCENTAGE">
                  <a:rPr lang="en-US" baseline="0"/>
                  <a:pPr>
                    <a:defRPr sz="1000" b="1"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21144757895362"/>
              <c:y val="-0.190124605096460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411356996217057E-2"/>
          <c:y val="0.1828565090259848"/>
          <c:w val="0.53448956256705538"/>
          <c:h val="0.76962142715867232"/>
        </c:manualLayout>
      </c:layout>
      <c:pieChart>
        <c:varyColors val="1"/>
        <c:ser>
          <c:idx val="0"/>
          <c:order val="0"/>
          <c:tx>
            <c:strRef>
              <c:f>Dashboard!$E$1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CD5-441C-B4DB-8269A8CD1930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D5-441C-B4DB-8269A8CD1930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CD5-441C-B4DB-8269A8CD1930}"/>
              </c:ext>
            </c:extLst>
          </c:dPt>
          <c:dLbls>
            <c:dLbl>
              <c:idx val="0"/>
              <c:layout>
                <c:manualLayout>
                  <c:x val="-0.1875868239242372"/>
                  <c:y val="0.13595880708394134"/>
                </c:manualLayout>
              </c:layout>
              <c:tx>
                <c:rich>
                  <a:bodyPr/>
                  <a:lstStyle/>
                  <a:p>
                    <a:fld id="{3DDE3DF1-5C40-4C2F-9CAB-F9A4213A284C}" type="CATEGORYNAME">
                      <a:rPr lang="en-US" b="1"/>
                      <a:pPr/>
                      <a:t>[CATEGORY NAME]</a:t>
                    </a:fld>
                    <a:r>
                      <a:rPr lang="en-US" baseline="0"/>
                      <a:t>
</a:t>
                    </a:r>
                    <a:fld id="{C5C75178-80AA-451C-8AB2-EEB3F55A68FA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CD5-441C-B4DB-8269A8CD1930}"/>
                </c:ext>
              </c:extLst>
            </c:dLbl>
            <c:dLbl>
              <c:idx val="1"/>
              <c:layout>
                <c:manualLayout>
                  <c:x val="-0.1421144757895362"/>
                  <c:y val="-0.1901246050964608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D5-441C-B4DB-8269A8CD19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Dashboard!$D$2:$D$5</c:f>
              <c:strCache>
                <c:ptCount val="3"/>
                <c:pt idx="0">
                  <c:v>Controls Failed</c:v>
                </c:pt>
                <c:pt idx="1">
                  <c:v>Controls Passed</c:v>
                </c:pt>
                <c:pt idx="2">
                  <c:v>Total Risks</c:v>
                </c:pt>
              </c:strCache>
            </c:strRef>
          </c:cat>
          <c:val>
            <c:numRef>
              <c:f>Dashboard!$E$2:$E$5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5-441C-B4DB-8269A8CD19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51255721747653"/>
          <c:y val="0.46047971091189976"/>
          <c:w val="0.20601539906521585"/>
          <c:h val="0.241530488424181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8329</xdr:colOff>
      <xdr:row>0</xdr:row>
      <xdr:rowOff>0</xdr:rowOff>
    </xdr:from>
    <xdr:to>
      <xdr:col>15</xdr:col>
      <xdr:colOff>26581</xdr:colOff>
      <xdr:row>15</xdr:row>
      <xdr:rowOff>8861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2CD886-5B53-08E1-E0AF-A9206AEB7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utuja" refreshedDate="46322.811167708336" createdVersion="8" refreshedVersion="8" minRefreshableVersion="3" recordCount="7" xr:uid="{FBC8FB19-5E73-443A-8A5D-A09EC09F5FBA}">
  <cacheSource type="worksheet">
    <worksheetSource name="RiskTable"/>
  </cacheSource>
  <cacheFields count="2">
    <cacheField name="Metric " numFmtId="0">
      <sharedItems count="7">
        <s v="Total Risks"/>
        <s v="High Risks"/>
        <s v="Medium Risks"/>
        <s v="Controls Tested"/>
        <s v="Controls Passed"/>
        <s v="Controls Failed"/>
        <s v="Total Findings"/>
      </sharedItems>
    </cacheField>
    <cacheField name="Count 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5"/>
  </r>
  <r>
    <x v="1"/>
    <n v="3"/>
  </r>
  <r>
    <x v="2"/>
    <n v="2"/>
  </r>
  <r>
    <x v="3"/>
    <n v="5"/>
  </r>
  <r>
    <x v="4"/>
    <n v="2"/>
  </r>
  <r>
    <x v="5"/>
    <n v="3"/>
  </r>
  <r>
    <x v="6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3C3F5-7864-4B80-B81B-2CA26B856A03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1:E5" firstHeaderRow="1" firstDataRow="1" firstDataCol="1"/>
  <pivotFields count="2">
    <pivotField axis="axisRow" showAll="0">
      <items count="8">
        <item x="5"/>
        <item x="4"/>
        <item h="1" x="3"/>
        <item h="1" x="1"/>
        <item h="1" x="2"/>
        <item h="1" x="6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6"/>
    </i>
    <i t="grand">
      <x/>
    </i>
  </rowItems>
  <colItems count="1">
    <i/>
  </colItems>
  <dataFields count="1">
    <dataField name="Sum of Count " fld="1" baseField="0" baseItem="0"/>
  </dataFields>
  <formats count="20">
    <format dxfId="74">
      <pivotArea field="0" type="button" dataOnly="0" labelOnly="1" outline="0" axis="axisRow" fieldPosition="0"/>
    </format>
    <format dxfId="73">
      <pivotArea field="0" type="button" dataOnly="0" labelOnly="1" outline="0" axis="axisRow" fieldPosition="0"/>
    </format>
    <format dxfId="72">
      <pivotArea dataOnly="0" labelOnly="1" outline="0" axis="axisValues" fieldPosition="0"/>
    </format>
    <format dxfId="71">
      <pivotArea dataOnly="0" labelOnly="1" outline="0" axis="axisValues" fieldPosition="0"/>
    </format>
    <format dxfId="70">
      <pivotArea field="0" type="button" dataOnly="0" labelOnly="1" outline="0" axis="axisRow" fieldPosition="0"/>
    </format>
    <format dxfId="69">
      <pivotArea dataOnly="0" labelOnly="1" outline="0" axis="axisValues" fieldPosition="0"/>
    </format>
    <format dxfId="68">
      <pivotArea field="0" type="button" dataOnly="0" labelOnly="1" outline="0" axis="axisRow" fieldPosition="0"/>
    </format>
    <format dxfId="67">
      <pivotArea dataOnly="0" labelOnly="1" outline="0" axis="axisValues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  <format dxfId="60">
      <pivotArea dataOnly="0" labelOnly="1" fieldPosition="0">
        <references count="1">
          <reference field="0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0" count="0"/>
        </references>
      </pivotArea>
    </format>
    <format dxfId="57">
      <pivotArea dataOnly="0" labelOnly="1" grandRow="1" outline="0" fieldPosition="0"/>
    </format>
    <format dxfId="56">
      <pivotArea outline="0" collapsedLevelsAreSubtotals="1" fieldPosition="0"/>
    </format>
    <format dxfId="55">
      <pivotArea outline="0" collapsedLevelsAreSubtotals="1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4AD12-63F0-47EE-AB82-4DA8833F36BE}" name="RiskTable" displayName="RiskTable" ref="A1:B8" totalsRowShown="0" headerRowDxfId="54" headerRowBorderDxfId="53" tableBorderDxfId="52" totalsRowBorderDxfId="51">
  <autoFilter ref="A1:B8" xr:uid="{32E4AD12-63F0-47EE-AB82-4DA8833F36BE}"/>
  <tableColumns count="2">
    <tableColumn id="1" xr3:uid="{768FFCAB-06D8-4E95-AE1D-B994C4EBBC94}" name="Metric " dataDxfId="50"/>
    <tableColumn id="2" xr3:uid="{D6CD6007-0540-410A-A22F-8D38CE0B7C72}" name="Count " dataDxfId="4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49C6-B424-4CBC-9A01-4858072F77BC}">
  <dimension ref="A1:B8"/>
  <sheetViews>
    <sheetView zoomScale="93" workbookViewId="0">
      <pane ySplit="1" topLeftCell="A2" activePane="bottomLeft" state="frozen"/>
      <selection pane="bottomLeft" activeCell="B8" sqref="A1:B8"/>
    </sheetView>
  </sheetViews>
  <sheetFormatPr defaultRowHeight="14.4" x14ac:dyDescent="0.3"/>
  <cols>
    <col min="1" max="1" width="22.77734375" customWidth="1"/>
    <col min="2" max="2" width="55.77734375" customWidth="1"/>
  </cols>
  <sheetData>
    <row r="1" spans="1:2" ht="24" customHeight="1" x14ac:dyDescent="0.3">
      <c r="A1" s="1" t="s">
        <v>15</v>
      </c>
      <c r="B1" s="1" t="s">
        <v>0</v>
      </c>
    </row>
    <row r="2" spans="1:2" ht="24" customHeight="1" x14ac:dyDescent="0.3">
      <c r="A2" s="2" t="s">
        <v>1</v>
      </c>
      <c r="B2" s="2" t="s">
        <v>2</v>
      </c>
    </row>
    <row r="3" spans="1:2" ht="24" customHeight="1" x14ac:dyDescent="0.3">
      <c r="A3" s="2" t="s">
        <v>3</v>
      </c>
      <c r="B3" s="2" t="s">
        <v>4</v>
      </c>
    </row>
    <row r="4" spans="1:2" ht="24" customHeight="1" x14ac:dyDescent="0.3">
      <c r="A4" s="2" t="s">
        <v>5</v>
      </c>
      <c r="B4" s="2" t="s">
        <v>6</v>
      </c>
    </row>
    <row r="5" spans="1:2" ht="24" customHeight="1" x14ac:dyDescent="0.3">
      <c r="A5" s="2" t="s">
        <v>7</v>
      </c>
      <c r="B5" s="2" t="s">
        <v>8</v>
      </c>
    </row>
    <row r="6" spans="1:2" ht="24" customHeight="1" x14ac:dyDescent="0.3">
      <c r="A6" s="2" t="s">
        <v>9</v>
      </c>
      <c r="B6" s="2" t="s">
        <v>10</v>
      </c>
    </row>
    <row r="7" spans="1:2" ht="24" customHeight="1" x14ac:dyDescent="0.3">
      <c r="A7" s="2" t="s">
        <v>11</v>
      </c>
      <c r="B7" s="2" t="s">
        <v>12</v>
      </c>
    </row>
    <row r="8" spans="1:2" ht="24" customHeight="1" x14ac:dyDescent="0.3">
      <c r="A8" s="2" t="s">
        <v>13</v>
      </c>
      <c r="B8" s="2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68B1-83C1-4735-A7A9-27272A850E9A}">
  <dimension ref="A1:F6"/>
  <sheetViews>
    <sheetView zoomScale="122"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12.77734375" customWidth="1"/>
    <col min="2" max="2" width="25.77734375" customWidth="1"/>
    <col min="3" max="3" width="20.77734375" customWidth="1"/>
    <col min="4" max="5" width="18.77734375" customWidth="1"/>
    <col min="6" max="6" width="38.77734375" customWidth="1"/>
  </cols>
  <sheetData>
    <row r="1" spans="1:6" ht="24" customHeight="1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ht="24" customHeight="1" x14ac:dyDescent="0.3">
      <c r="A2" s="3" t="s">
        <v>22</v>
      </c>
      <c r="B2" s="4" t="s">
        <v>23</v>
      </c>
      <c r="C2" s="2" t="s">
        <v>24</v>
      </c>
      <c r="D2" s="2" t="s">
        <v>25</v>
      </c>
      <c r="E2" s="3" t="s">
        <v>26</v>
      </c>
      <c r="F2" s="4" t="s">
        <v>27</v>
      </c>
    </row>
    <row r="3" spans="1:6" ht="24" customHeight="1" x14ac:dyDescent="0.3">
      <c r="A3" s="3" t="s">
        <v>28</v>
      </c>
      <c r="B3" s="4" t="s">
        <v>29</v>
      </c>
      <c r="C3" s="2" t="s">
        <v>30</v>
      </c>
      <c r="D3" s="2" t="s">
        <v>31</v>
      </c>
      <c r="E3" s="3" t="s">
        <v>26</v>
      </c>
      <c r="F3" s="4" t="s">
        <v>32</v>
      </c>
    </row>
    <row r="4" spans="1:6" ht="24" customHeight="1" x14ac:dyDescent="0.3">
      <c r="A4" s="3" t="s">
        <v>33</v>
      </c>
      <c r="B4" s="4" t="s">
        <v>34</v>
      </c>
      <c r="C4" s="2" t="s">
        <v>35</v>
      </c>
      <c r="D4" s="2" t="s">
        <v>25</v>
      </c>
      <c r="E4" s="3" t="s">
        <v>36</v>
      </c>
      <c r="F4" s="4" t="s">
        <v>37</v>
      </c>
    </row>
    <row r="5" spans="1:6" ht="24" customHeight="1" x14ac:dyDescent="0.3">
      <c r="A5" s="3" t="s">
        <v>38</v>
      </c>
      <c r="B5" s="4" t="s">
        <v>39</v>
      </c>
      <c r="C5" s="2" t="s">
        <v>40</v>
      </c>
      <c r="D5" s="2" t="s">
        <v>25</v>
      </c>
      <c r="E5" s="3" t="s">
        <v>36</v>
      </c>
      <c r="F5" s="4" t="s">
        <v>41</v>
      </c>
    </row>
    <row r="6" spans="1:6" ht="24" customHeight="1" x14ac:dyDescent="0.3">
      <c r="A6" s="3" t="s">
        <v>42</v>
      </c>
      <c r="B6" s="4" t="s">
        <v>43</v>
      </c>
      <c r="C6" s="2" t="s">
        <v>44</v>
      </c>
      <c r="D6" s="2" t="s">
        <v>25</v>
      </c>
      <c r="E6" s="3" t="s">
        <v>26</v>
      </c>
      <c r="F6" s="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9657-1716-44C6-BB54-457804FDBB9F}">
  <dimension ref="A1:H6"/>
  <sheetViews>
    <sheetView topLeftCell="C1" workbookViewId="0">
      <pane ySplit="1" topLeftCell="A9" activePane="bottomLeft" state="frozen"/>
      <selection activeCell="C1" sqref="C1"/>
      <selection pane="bottomLeft" activeCell="C15" sqref="A1:XFD1048576"/>
    </sheetView>
  </sheetViews>
  <sheetFormatPr defaultRowHeight="14.4" x14ac:dyDescent="0.3"/>
  <cols>
    <col min="1" max="1" width="12.77734375" style="7" customWidth="1"/>
    <col min="2" max="2" width="23.77734375" style="7" customWidth="1"/>
    <col min="3" max="3" width="42.77734375" style="7" customWidth="1"/>
    <col min="4" max="4" width="14.77734375" style="7" customWidth="1"/>
    <col min="5" max="5" width="10.77734375" style="7" customWidth="1"/>
    <col min="6" max="6" width="12.77734375" style="7" customWidth="1"/>
    <col min="7" max="7" width="14.77734375" style="7" customWidth="1"/>
    <col min="8" max="8" width="18.77734375" style="7" customWidth="1"/>
    <col min="9" max="16384" width="8.88671875" style="7"/>
  </cols>
  <sheetData>
    <row r="1" spans="1:8" ht="30" customHeight="1" x14ac:dyDescent="0.3">
      <c r="A1" s="1" t="s">
        <v>46</v>
      </c>
      <c r="B1" s="1" t="s">
        <v>17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ht="31.95" customHeight="1" x14ac:dyDescent="0.3">
      <c r="A2" s="3" t="s">
        <v>53</v>
      </c>
      <c r="B2" s="2" t="s">
        <v>23</v>
      </c>
      <c r="C2" s="2" t="s">
        <v>54</v>
      </c>
      <c r="D2" s="3">
        <v>4</v>
      </c>
      <c r="E2" s="3">
        <v>5</v>
      </c>
      <c r="F2" s="3">
        <f>D2*E2</f>
        <v>20</v>
      </c>
      <c r="G2" s="3" t="str">
        <f>IF(F2&gt;=15,"High",IF(F2&gt;=6,"Medium","Low"))</f>
        <v>High</v>
      </c>
      <c r="H2" s="3" t="s">
        <v>55</v>
      </c>
    </row>
    <row r="3" spans="1:8" ht="31.95" customHeight="1" x14ac:dyDescent="0.3">
      <c r="A3" s="3" t="s">
        <v>56</v>
      </c>
      <c r="B3" s="2" t="s">
        <v>29</v>
      </c>
      <c r="C3" s="2" t="s">
        <v>57</v>
      </c>
      <c r="D3" s="3">
        <v>3</v>
      </c>
      <c r="E3" s="3">
        <v>4</v>
      </c>
      <c r="F3" s="3">
        <f t="shared" ref="F3:F6" si="0">D3*E3</f>
        <v>12</v>
      </c>
      <c r="G3" s="3" t="str">
        <f t="shared" ref="G3:G6" si="1">IF(F3&gt;=15,"High",IF(F3&gt;=6,"Medium","Low"))</f>
        <v>Medium</v>
      </c>
      <c r="H3" s="3" t="s">
        <v>55</v>
      </c>
    </row>
    <row r="4" spans="1:8" ht="31.95" customHeight="1" x14ac:dyDescent="0.3">
      <c r="A4" s="3" t="s">
        <v>58</v>
      </c>
      <c r="B4" s="2" t="s">
        <v>34</v>
      </c>
      <c r="C4" s="2" t="s">
        <v>59</v>
      </c>
      <c r="D4" s="3">
        <v>3</v>
      </c>
      <c r="E4" s="3">
        <v>5</v>
      </c>
      <c r="F4" s="3">
        <f t="shared" si="0"/>
        <v>15</v>
      </c>
      <c r="G4" s="3" t="str">
        <f t="shared" si="1"/>
        <v>High</v>
      </c>
      <c r="H4" s="3" t="s">
        <v>55</v>
      </c>
    </row>
    <row r="5" spans="1:8" ht="31.95" customHeight="1" x14ac:dyDescent="0.3">
      <c r="A5" s="3" t="s">
        <v>60</v>
      </c>
      <c r="B5" s="2" t="s">
        <v>39</v>
      </c>
      <c r="C5" s="2" t="s">
        <v>61</v>
      </c>
      <c r="D5" s="3">
        <v>2</v>
      </c>
      <c r="E5" s="3">
        <v>4</v>
      </c>
      <c r="F5" s="3">
        <f t="shared" si="0"/>
        <v>8</v>
      </c>
      <c r="G5" s="3" t="str">
        <f t="shared" si="1"/>
        <v>Medium</v>
      </c>
      <c r="H5" s="3" t="s">
        <v>55</v>
      </c>
    </row>
    <row r="6" spans="1:8" ht="31.95" customHeight="1" x14ac:dyDescent="0.3">
      <c r="A6" s="3" t="s">
        <v>62</v>
      </c>
      <c r="B6" s="2" t="s">
        <v>43</v>
      </c>
      <c r="C6" s="2" t="s">
        <v>63</v>
      </c>
      <c r="D6" s="3">
        <v>4</v>
      </c>
      <c r="E6" s="3">
        <v>4</v>
      </c>
      <c r="F6" s="3">
        <f t="shared" si="0"/>
        <v>16</v>
      </c>
      <c r="G6" s="3" t="str">
        <f t="shared" si="1"/>
        <v>High</v>
      </c>
      <c r="H6" s="3" t="s">
        <v>55</v>
      </c>
    </row>
  </sheetData>
  <conditionalFormatting sqref="G2:G6">
    <cfRule type="containsText" dxfId="48" priority="1" operator="containsText" text="M">
      <formula>NOT(ISERROR(SEARCH("M",G2)))</formula>
    </cfRule>
    <cfRule type="containsText" dxfId="47" priority="2" operator="containsText" text="High">
      <formula>NOT(ISERROR(SEARCH("High",G2)))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A2AB-F821-4542-AE96-AAF4DC0C1FD7}">
  <dimension ref="A1:G6"/>
  <sheetViews>
    <sheetView workbookViewId="0">
      <pane ySplit="1" topLeftCell="A23" activePane="bottomLeft" state="frozen"/>
      <selection pane="bottomLeft" activeCell="B9" sqref="A1:XFD1048576"/>
    </sheetView>
  </sheetViews>
  <sheetFormatPr defaultRowHeight="14.4" x14ac:dyDescent="0.3"/>
  <cols>
    <col min="1" max="1" width="12.77734375" style="6" customWidth="1"/>
    <col min="2" max="2" width="38.77734375" style="7" customWidth="1"/>
    <col min="3" max="3" width="14.77734375" style="6" customWidth="1"/>
    <col min="4" max="4" width="20.77734375" style="6" customWidth="1"/>
    <col min="5" max="5" width="48.77734375" style="7" customWidth="1"/>
    <col min="6" max="6" width="22.77734375" style="6" customWidth="1"/>
    <col min="7" max="7" width="16.77734375" style="6" customWidth="1"/>
    <col min="8" max="16384" width="8.88671875" style="7"/>
  </cols>
  <sheetData>
    <row r="1" spans="1:7" ht="30" customHeight="1" x14ac:dyDescent="0.3">
      <c r="A1" s="1" t="s">
        <v>46</v>
      </c>
      <c r="B1" s="1" t="s">
        <v>47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ht="42" customHeight="1" x14ac:dyDescent="0.3">
      <c r="A2" s="3" t="s">
        <v>53</v>
      </c>
      <c r="B2" s="4" t="s">
        <v>54</v>
      </c>
      <c r="C2" s="3" t="s">
        <v>26</v>
      </c>
      <c r="D2" s="3" t="s">
        <v>55</v>
      </c>
      <c r="E2" s="4" t="s">
        <v>68</v>
      </c>
      <c r="F2" s="3" t="s">
        <v>69</v>
      </c>
      <c r="G2" s="3" t="s">
        <v>14</v>
      </c>
    </row>
    <row r="3" spans="1:7" ht="42" customHeight="1" x14ac:dyDescent="0.3">
      <c r="A3" s="3" t="s">
        <v>56</v>
      </c>
      <c r="B3" s="4" t="s">
        <v>57</v>
      </c>
      <c r="C3" s="3" t="s">
        <v>36</v>
      </c>
      <c r="D3" s="3" t="s">
        <v>55</v>
      </c>
      <c r="E3" s="4" t="s">
        <v>70</v>
      </c>
      <c r="F3" s="3" t="s">
        <v>25</v>
      </c>
      <c r="G3" s="3" t="s">
        <v>71</v>
      </c>
    </row>
    <row r="4" spans="1:7" ht="42" customHeight="1" x14ac:dyDescent="0.3">
      <c r="A4" s="3" t="s">
        <v>58</v>
      </c>
      <c r="B4" s="4" t="s">
        <v>59</v>
      </c>
      <c r="C4" s="3" t="s">
        <v>26</v>
      </c>
      <c r="D4" s="3" t="s">
        <v>55</v>
      </c>
      <c r="E4" s="4" t="s">
        <v>72</v>
      </c>
      <c r="F4" s="3" t="s">
        <v>73</v>
      </c>
      <c r="G4" s="3" t="s">
        <v>71</v>
      </c>
    </row>
    <row r="5" spans="1:7" ht="42" customHeight="1" x14ac:dyDescent="0.3">
      <c r="A5" s="3" t="s">
        <v>60</v>
      </c>
      <c r="B5" s="4" t="s">
        <v>61</v>
      </c>
      <c r="C5" s="3" t="s">
        <v>36</v>
      </c>
      <c r="D5" s="3" t="s">
        <v>55</v>
      </c>
      <c r="E5" s="4" t="s">
        <v>74</v>
      </c>
      <c r="F5" s="3" t="s">
        <v>25</v>
      </c>
      <c r="G5" s="3" t="s">
        <v>71</v>
      </c>
    </row>
    <row r="6" spans="1:7" ht="42" customHeight="1" x14ac:dyDescent="0.3">
      <c r="A6" s="3" t="s">
        <v>62</v>
      </c>
      <c r="B6" s="4" t="s">
        <v>63</v>
      </c>
      <c r="C6" s="3" t="s">
        <v>26</v>
      </c>
      <c r="D6" s="3" t="s">
        <v>55</v>
      </c>
      <c r="E6" s="4" t="s">
        <v>75</v>
      </c>
      <c r="F6" s="3" t="s">
        <v>69</v>
      </c>
      <c r="G6" s="3" t="s">
        <v>71</v>
      </c>
    </row>
  </sheetData>
  <conditionalFormatting sqref="C2:C6">
    <cfRule type="containsText" dxfId="46" priority="3" operator="containsText" text="m">
      <formula>NOT(ISERROR(SEARCH("m",C2)))</formula>
    </cfRule>
    <cfRule type="containsText" dxfId="45" priority="4" operator="containsText" text="High">
      <formula>NOT(ISERROR(SEARCH("High",C2)))</formula>
    </cfRule>
  </conditionalFormatting>
  <conditionalFormatting sqref="G2:G6">
    <cfRule type="containsText" dxfId="44" priority="1" operator="containsText" text="op">
      <formula>NOT(ISERROR(SEARCH("op",G2)))</formula>
    </cfRule>
    <cfRule type="containsText" dxfId="43" priority="2" operator="containsText" text="In Progress">
      <formula>NOT(ISERROR(SEARCH("In Progress",G2)))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7A57F-3531-4895-A1FB-97CA1610DA62}">
  <dimension ref="A1:F6"/>
  <sheetViews>
    <sheetView zoomScale="89" workbookViewId="0">
      <pane ySplit="1" topLeftCell="A2" activePane="bottomLeft" state="frozen"/>
      <selection pane="bottomLeft" activeCell="F1" sqref="A1:F6"/>
    </sheetView>
  </sheetViews>
  <sheetFormatPr defaultRowHeight="14.4" x14ac:dyDescent="0.3"/>
  <cols>
    <col min="1" max="1" width="12.77734375" style="7" customWidth="1"/>
    <col min="2" max="2" width="23.77734375" style="7" customWidth="1"/>
    <col min="3" max="3" width="30.77734375" style="7" customWidth="1"/>
    <col min="4" max="4" width="14.77734375" style="7" customWidth="1"/>
    <col min="5" max="5" width="48.77734375" style="7" customWidth="1"/>
    <col min="6" max="6" width="16.77734375" style="7" customWidth="1"/>
    <col min="7" max="16384" width="8.88671875" style="7"/>
  </cols>
  <sheetData>
    <row r="1" spans="1:6" ht="30" customHeight="1" x14ac:dyDescent="0.3">
      <c r="A1" s="1" t="s">
        <v>76</v>
      </c>
      <c r="B1" s="1" t="s">
        <v>17</v>
      </c>
      <c r="C1" s="1" t="s">
        <v>77</v>
      </c>
      <c r="D1" s="1" t="s">
        <v>78</v>
      </c>
      <c r="E1" s="1" t="s">
        <v>79</v>
      </c>
      <c r="F1" s="1" t="s">
        <v>67</v>
      </c>
    </row>
    <row r="2" spans="1:6" ht="37.950000000000003" customHeight="1" x14ac:dyDescent="0.3">
      <c r="A2" s="3" t="s">
        <v>80</v>
      </c>
      <c r="B2" s="4" t="s">
        <v>23</v>
      </c>
      <c r="C2" s="4" t="s">
        <v>81</v>
      </c>
      <c r="D2" s="3" t="s">
        <v>82</v>
      </c>
      <c r="E2" s="4" t="s">
        <v>83</v>
      </c>
      <c r="F2" s="3" t="s">
        <v>71</v>
      </c>
    </row>
    <row r="3" spans="1:6" ht="37.950000000000003" customHeight="1" x14ac:dyDescent="0.3">
      <c r="A3" s="3" t="s">
        <v>84</v>
      </c>
      <c r="B3" s="4" t="s">
        <v>29</v>
      </c>
      <c r="C3" s="4" t="s">
        <v>85</v>
      </c>
      <c r="D3" s="3" t="s">
        <v>82</v>
      </c>
      <c r="E3" s="4" t="s">
        <v>86</v>
      </c>
      <c r="F3" s="3" t="s">
        <v>71</v>
      </c>
    </row>
    <row r="4" spans="1:6" ht="37.950000000000003" customHeight="1" x14ac:dyDescent="0.3">
      <c r="A4" s="3" t="s">
        <v>87</v>
      </c>
      <c r="B4" s="4" t="s">
        <v>34</v>
      </c>
      <c r="C4" s="4" t="s">
        <v>88</v>
      </c>
      <c r="D4" s="3" t="s">
        <v>89</v>
      </c>
      <c r="E4" s="4" t="s">
        <v>90</v>
      </c>
      <c r="F4" s="3" t="s">
        <v>91</v>
      </c>
    </row>
    <row r="5" spans="1:6" ht="37.950000000000003" customHeight="1" x14ac:dyDescent="0.3">
      <c r="A5" s="3" t="s">
        <v>92</v>
      </c>
      <c r="B5" s="4" t="s">
        <v>39</v>
      </c>
      <c r="C5" s="4" t="s">
        <v>93</v>
      </c>
      <c r="D5" s="3" t="s">
        <v>89</v>
      </c>
      <c r="E5" s="4" t="s">
        <v>94</v>
      </c>
      <c r="F5" s="3" t="s">
        <v>91</v>
      </c>
    </row>
    <row r="6" spans="1:6" ht="37.950000000000003" customHeight="1" x14ac:dyDescent="0.3">
      <c r="A6" s="3" t="s">
        <v>95</v>
      </c>
      <c r="B6" s="4" t="s">
        <v>43</v>
      </c>
      <c r="C6" s="4" t="s">
        <v>96</v>
      </c>
      <c r="D6" s="3" t="s">
        <v>82</v>
      </c>
      <c r="E6" s="4" t="s">
        <v>97</v>
      </c>
      <c r="F6" s="3" t="s">
        <v>71</v>
      </c>
    </row>
  </sheetData>
  <conditionalFormatting sqref="D2:D6">
    <cfRule type="containsText" dxfId="42" priority="3" operator="containsText" text="p">
      <formula>NOT(ISERROR(SEARCH("p",D2)))</formula>
    </cfRule>
    <cfRule type="containsText" dxfId="41" priority="4" operator="containsText" text="Fail">
      <formula>NOT(ISERROR(SEARCH("Fail",D2)))</formula>
    </cfRule>
  </conditionalFormatting>
  <conditionalFormatting sqref="F2:F6">
    <cfRule type="containsText" dxfId="40" priority="1" operator="containsText" text="c">
      <formula>NOT(ISERROR(SEARCH("c",F2)))</formula>
    </cfRule>
    <cfRule type="containsText" dxfId="39" priority="2" operator="containsText" text="Open">
      <formula>NOT(ISERROR(SEARCH("Open",F2)))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5B00-799C-4CEA-B6B6-A263C8543BAC}">
  <dimension ref="A1:H6"/>
  <sheetViews>
    <sheetView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14.77734375" customWidth="1"/>
    <col min="2" max="2" width="18.77734375" customWidth="1"/>
    <col min="3" max="3" width="32.77734375" customWidth="1"/>
    <col min="4" max="4" width="22.77734375" customWidth="1"/>
    <col min="5" max="6" width="18.77734375" customWidth="1"/>
    <col min="7" max="7" width="16.77734375" customWidth="1"/>
    <col min="8" max="8" width="38.77734375" customWidth="1"/>
  </cols>
  <sheetData>
    <row r="1" spans="1:8" ht="30" customHeight="1" x14ac:dyDescent="0.3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21</v>
      </c>
    </row>
    <row r="2" spans="1:8" ht="37.950000000000003" customHeight="1" x14ac:dyDescent="0.3">
      <c r="A2" s="3" t="s">
        <v>105</v>
      </c>
      <c r="B2" s="3" t="s">
        <v>80</v>
      </c>
      <c r="C2" s="4" t="s">
        <v>106</v>
      </c>
      <c r="D2" s="4" t="s">
        <v>69</v>
      </c>
      <c r="E2" s="5">
        <v>46315</v>
      </c>
      <c r="F2" s="3" t="s">
        <v>107</v>
      </c>
      <c r="G2" s="3" t="s">
        <v>82</v>
      </c>
      <c r="H2" s="4" t="s">
        <v>108</v>
      </c>
    </row>
    <row r="3" spans="1:8" ht="37.950000000000003" customHeight="1" x14ac:dyDescent="0.3">
      <c r="A3" s="3" t="s">
        <v>109</v>
      </c>
      <c r="B3" s="3" t="s">
        <v>84</v>
      </c>
      <c r="C3" s="4" t="s">
        <v>110</v>
      </c>
      <c r="D3" s="4" t="s">
        <v>25</v>
      </c>
      <c r="E3" s="5">
        <v>46315</v>
      </c>
      <c r="F3" s="3" t="s">
        <v>107</v>
      </c>
      <c r="G3" s="3" t="s">
        <v>82</v>
      </c>
      <c r="H3" s="4" t="s">
        <v>111</v>
      </c>
    </row>
    <row r="4" spans="1:8" ht="37.950000000000003" customHeight="1" x14ac:dyDescent="0.3">
      <c r="A4" s="3" t="s">
        <v>112</v>
      </c>
      <c r="B4" s="3" t="s">
        <v>87</v>
      </c>
      <c r="C4" s="4" t="s">
        <v>113</v>
      </c>
      <c r="D4" s="4" t="s">
        <v>73</v>
      </c>
      <c r="E4" s="5">
        <v>46316</v>
      </c>
      <c r="F4" s="3" t="s">
        <v>107</v>
      </c>
      <c r="G4" s="3" t="s">
        <v>89</v>
      </c>
      <c r="H4" s="4" t="s">
        <v>114</v>
      </c>
    </row>
    <row r="5" spans="1:8" ht="37.950000000000003" customHeight="1" x14ac:dyDescent="0.3">
      <c r="A5" s="3" t="s">
        <v>115</v>
      </c>
      <c r="B5" s="3" t="s">
        <v>92</v>
      </c>
      <c r="C5" s="4" t="s">
        <v>116</v>
      </c>
      <c r="D5" s="4" t="s">
        <v>25</v>
      </c>
      <c r="E5" s="5">
        <v>46316</v>
      </c>
      <c r="F5" s="3" t="s">
        <v>107</v>
      </c>
      <c r="G5" s="3" t="s">
        <v>89</v>
      </c>
      <c r="H5" s="4" t="s">
        <v>117</v>
      </c>
    </row>
    <row r="6" spans="1:8" ht="37.950000000000003" customHeight="1" x14ac:dyDescent="0.3">
      <c r="A6" s="3" t="s">
        <v>118</v>
      </c>
      <c r="B6" s="3" t="s">
        <v>95</v>
      </c>
      <c r="C6" s="4" t="s">
        <v>119</v>
      </c>
      <c r="D6" s="4" t="s">
        <v>31</v>
      </c>
      <c r="E6" s="5">
        <v>46317</v>
      </c>
      <c r="F6" s="3" t="s">
        <v>107</v>
      </c>
      <c r="G6" s="3" t="s">
        <v>82</v>
      </c>
      <c r="H6" s="4" t="s">
        <v>120</v>
      </c>
    </row>
  </sheetData>
  <conditionalFormatting sqref="F2:F6">
    <cfRule type="containsText" dxfId="38" priority="1" operator="containsText" text="Received">
      <formula>NOT(ISERROR(SEARCH("Received",F2)))</formula>
    </cfRule>
  </conditionalFormatting>
  <conditionalFormatting sqref="G2:G6">
    <cfRule type="containsText" dxfId="37" priority="2" operator="containsText" text="p">
      <formula>NOT(ISERROR(SEARCH("p",G2)))</formula>
    </cfRule>
    <cfRule type="containsText" dxfId="36" priority="3" operator="containsText" text="Fail">
      <formula>NOT(ISERROR(SEARCH("Fail",G2)))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527-E32D-4086-868C-B738AD3150F7}">
  <dimension ref="A1:H10"/>
  <sheetViews>
    <sheetView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width="14.77734375" style="7" customWidth="1"/>
    <col min="2" max="2" width="16.77734375" style="7" customWidth="1"/>
    <col min="3" max="3" width="45.77734375" style="7" customWidth="1"/>
    <col min="4" max="4" width="14.77734375" style="7" customWidth="1"/>
    <col min="5" max="5" width="45.77734375" style="7" customWidth="1"/>
    <col min="6" max="6" width="22.77734375" style="7" customWidth="1"/>
    <col min="7" max="7" width="18.77734375" style="7" customWidth="1"/>
    <col min="8" max="8" width="16.77734375" style="7" customWidth="1"/>
    <col min="9" max="16384" width="8.88671875" style="7"/>
  </cols>
  <sheetData>
    <row r="1" spans="1:8" ht="30" customHeight="1" x14ac:dyDescent="0.3">
      <c r="A1" s="1" t="s">
        <v>121</v>
      </c>
      <c r="B1" s="1" t="s">
        <v>133</v>
      </c>
      <c r="C1" s="1" t="s">
        <v>122</v>
      </c>
      <c r="D1" s="1" t="s">
        <v>123</v>
      </c>
      <c r="E1" s="1" t="s">
        <v>65</v>
      </c>
      <c r="F1" s="1" t="s">
        <v>66</v>
      </c>
      <c r="G1" s="1" t="s">
        <v>124</v>
      </c>
      <c r="H1" s="1" t="s">
        <v>67</v>
      </c>
    </row>
    <row r="2" spans="1:8" ht="42" customHeight="1" x14ac:dyDescent="0.3">
      <c r="A2" s="3" t="s">
        <v>125</v>
      </c>
      <c r="B2" s="3" t="s">
        <v>53</v>
      </c>
      <c r="C2" s="4" t="s">
        <v>126</v>
      </c>
      <c r="D2" s="3" t="s">
        <v>26</v>
      </c>
      <c r="E2" s="4" t="s">
        <v>127</v>
      </c>
      <c r="F2" s="3" t="s">
        <v>69</v>
      </c>
      <c r="G2" s="5">
        <v>46326</v>
      </c>
      <c r="H2" s="3" t="s">
        <v>14</v>
      </c>
    </row>
    <row r="3" spans="1:8" ht="42" customHeight="1" x14ac:dyDescent="0.3">
      <c r="A3" s="3" t="s">
        <v>128</v>
      </c>
      <c r="B3" s="3" t="s">
        <v>56</v>
      </c>
      <c r="C3" s="4" t="s">
        <v>129</v>
      </c>
      <c r="D3" s="3" t="s">
        <v>36</v>
      </c>
      <c r="E3" s="4" t="s">
        <v>70</v>
      </c>
      <c r="F3" s="3" t="s">
        <v>25</v>
      </c>
      <c r="G3" s="5">
        <v>46326</v>
      </c>
      <c r="H3" s="3" t="s">
        <v>71</v>
      </c>
    </row>
    <row r="4" spans="1:8" ht="42" customHeight="1" x14ac:dyDescent="0.3">
      <c r="A4" s="3" t="s">
        <v>130</v>
      </c>
      <c r="B4" s="3" t="s">
        <v>62</v>
      </c>
      <c r="C4" s="4" t="s">
        <v>131</v>
      </c>
      <c r="D4" s="3" t="s">
        <v>26</v>
      </c>
      <c r="E4" s="4" t="s">
        <v>132</v>
      </c>
      <c r="F4" s="3" t="s">
        <v>31</v>
      </c>
      <c r="G4" s="5">
        <v>46332</v>
      </c>
      <c r="H4" s="3" t="s">
        <v>71</v>
      </c>
    </row>
    <row r="8" spans="1:8" x14ac:dyDescent="0.3">
      <c r="G8" s="8"/>
    </row>
    <row r="9" spans="1:8" x14ac:dyDescent="0.3">
      <c r="G9" s="8"/>
    </row>
    <row r="10" spans="1:8" x14ac:dyDescent="0.3">
      <c r="G10" s="8"/>
    </row>
  </sheetData>
  <conditionalFormatting sqref="D2:D4">
    <cfRule type="containsText" dxfId="35" priority="4" operator="containsText" text="m">
      <formula>NOT(ISERROR(SEARCH("m",D2)))</formula>
    </cfRule>
    <cfRule type="containsText" dxfId="34" priority="5" operator="containsText" text="High">
      <formula>NOT(ISERROR(SEARCH("High",D2)))</formula>
    </cfRule>
  </conditionalFormatting>
  <conditionalFormatting sqref="H2:H4">
    <cfRule type="containsText" dxfId="33" priority="1" operator="containsText" text="In Progress">
      <formula>NOT(ISERROR(SEARCH("In Progress",H2)))</formula>
    </cfRule>
    <cfRule type="containsText" dxfId="32" priority="2" operator="containsText" text="o">
      <formula>NOT(ISERROR(SEARCH("o",H2)))</formula>
    </cfRule>
    <cfRule type="containsText" dxfId="31" priority="3" operator="containsText" text="In Progress">
      <formula>NOT(ISERROR(SEARCH("In Progress",H2)))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2093-085D-4F1B-8389-E1D55F1102B3}">
  <dimension ref="A1:E6"/>
  <sheetViews>
    <sheetView zoomScale="115"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width="14.77734375" customWidth="1"/>
    <col min="2" max="2" width="32.77734375" customWidth="1"/>
    <col min="3" max="3" width="34.77734375" customWidth="1"/>
    <col min="4" max="4" width="14.77734375" customWidth="1"/>
    <col min="5" max="5" width="48.77734375" customWidth="1"/>
  </cols>
  <sheetData>
    <row r="1" spans="1:5" ht="30" customHeight="1" x14ac:dyDescent="0.3">
      <c r="A1" s="1" t="s">
        <v>134</v>
      </c>
      <c r="B1" s="1" t="s">
        <v>135</v>
      </c>
      <c r="C1" s="1" t="s">
        <v>136</v>
      </c>
      <c r="D1" s="1" t="s">
        <v>137</v>
      </c>
      <c r="E1" s="1" t="s">
        <v>21</v>
      </c>
    </row>
    <row r="2" spans="1:5" ht="37.950000000000003" customHeight="1" x14ac:dyDescent="0.3">
      <c r="A2" s="3" t="s">
        <v>138</v>
      </c>
      <c r="B2" s="4" t="s">
        <v>81</v>
      </c>
      <c r="C2" s="4" t="s">
        <v>106</v>
      </c>
      <c r="D2" s="3" t="s">
        <v>82</v>
      </c>
      <c r="E2" s="4" t="s">
        <v>139</v>
      </c>
    </row>
    <row r="3" spans="1:5" ht="37.950000000000003" customHeight="1" x14ac:dyDescent="0.3">
      <c r="A3" s="3" t="s">
        <v>140</v>
      </c>
      <c r="B3" s="4" t="s">
        <v>141</v>
      </c>
      <c r="C3" s="4" t="s">
        <v>110</v>
      </c>
      <c r="D3" s="3" t="s">
        <v>82</v>
      </c>
      <c r="E3" s="4" t="s">
        <v>142</v>
      </c>
    </row>
    <row r="4" spans="1:5" ht="37.950000000000003" customHeight="1" x14ac:dyDescent="0.3">
      <c r="A4" s="3" t="s">
        <v>143</v>
      </c>
      <c r="B4" s="4" t="s">
        <v>88</v>
      </c>
      <c r="C4" s="4" t="s">
        <v>113</v>
      </c>
      <c r="D4" s="3" t="s">
        <v>89</v>
      </c>
      <c r="E4" s="4" t="s">
        <v>144</v>
      </c>
    </row>
    <row r="5" spans="1:5" ht="37.950000000000003" customHeight="1" x14ac:dyDescent="0.3">
      <c r="A5" s="3" t="s">
        <v>145</v>
      </c>
      <c r="B5" s="4" t="s">
        <v>93</v>
      </c>
      <c r="C5" s="4" t="s">
        <v>116</v>
      </c>
      <c r="D5" s="3" t="s">
        <v>89</v>
      </c>
      <c r="E5" s="4" t="s">
        <v>146</v>
      </c>
    </row>
    <row r="6" spans="1:5" ht="37.950000000000003" customHeight="1" x14ac:dyDescent="0.3">
      <c r="A6" s="3" t="s">
        <v>147</v>
      </c>
      <c r="B6" s="4" t="s">
        <v>96</v>
      </c>
      <c r="C6" s="4" t="s">
        <v>119</v>
      </c>
      <c r="D6" s="3" t="s">
        <v>82</v>
      </c>
      <c r="E6" s="4" t="s">
        <v>120</v>
      </c>
    </row>
  </sheetData>
  <conditionalFormatting sqref="D2:D6">
    <cfRule type="containsText" dxfId="30" priority="1" operator="containsText" text="p">
      <formula>NOT(ISERROR(SEARCH("p",D2)))</formula>
    </cfRule>
    <cfRule type="containsText" dxfId="29" priority="2" operator="containsText" text="Fail">
      <formula>NOT(ISERROR(SEARCH("Fail",D2)))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F88C-347B-498D-AEF9-2D1B4D58F050}">
  <dimension ref="A1:E8"/>
  <sheetViews>
    <sheetView tabSelected="1" zoomScale="86" workbookViewId="0">
      <selection activeCell="D11" sqref="D11"/>
    </sheetView>
  </sheetViews>
  <sheetFormatPr defaultRowHeight="14.4" x14ac:dyDescent="0.3"/>
  <cols>
    <col min="1" max="1" width="16.77734375" customWidth="1"/>
    <col min="2" max="2" width="12.77734375" customWidth="1"/>
    <col min="4" max="4" width="15.88671875" bestFit="1" customWidth="1"/>
    <col min="5" max="5" width="13.5546875" bestFit="1" customWidth="1"/>
  </cols>
  <sheetData>
    <row r="1" spans="1:5" ht="29.4" customHeight="1" x14ac:dyDescent="0.3">
      <c r="A1" s="9" t="s">
        <v>158</v>
      </c>
      <c r="B1" s="10" t="s">
        <v>159</v>
      </c>
      <c r="D1" s="17" t="s">
        <v>156</v>
      </c>
      <c r="E1" s="17" t="s">
        <v>160</v>
      </c>
    </row>
    <row r="2" spans="1:5" ht="25.05" customHeight="1" x14ac:dyDescent="0.3">
      <c r="A2" s="11" t="s">
        <v>148</v>
      </c>
      <c r="B2" s="12">
        <v>5</v>
      </c>
      <c r="D2" s="18" t="s">
        <v>153</v>
      </c>
      <c r="E2" s="19">
        <v>3</v>
      </c>
    </row>
    <row r="3" spans="1:5" ht="25.05" customHeight="1" x14ac:dyDescent="0.3">
      <c r="A3" s="13" t="s">
        <v>149</v>
      </c>
      <c r="B3" s="14">
        <v>3</v>
      </c>
      <c r="D3" s="18" t="s">
        <v>152</v>
      </c>
      <c r="E3" s="19">
        <v>2</v>
      </c>
    </row>
    <row r="4" spans="1:5" ht="25.05" customHeight="1" x14ac:dyDescent="0.3">
      <c r="A4" s="13" t="s">
        <v>150</v>
      </c>
      <c r="B4" s="14">
        <v>2</v>
      </c>
      <c r="D4" s="18" t="s">
        <v>148</v>
      </c>
      <c r="E4" s="19">
        <v>5</v>
      </c>
    </row>
    <row r="5" spans="1:5" ht="25.05" customHeight="1" x14ac:dyDescent="0.3">
      <c r="A5" s="11" t="s">
        <v>151</v>
      </c>
      <c r="B5" s="12">
        <v>5</v>
      </c>
      <c r="D5" s="18" t="s">
        <v>157</v>
      </c>
      <c r="E5" s="19">
        <v>10</v>
      </c>
    </row>
    <row r="6" spans="1:5" ht="25.05" customHeight="1" x14ac:dyDescent="0.3">
      <c r="A6" s="13" t="s">
        <v>152</v>
      </c>
      <c r="B6" s="14">
        <v>2</v>
      </c>
    </row>
    <row r="7" spans="1:5" ht="25.05" customHeight="1" x14ac:dyDescent="0.3">
      <c r="A7" s="13" t="s">
        <v>153</v>
      </c>
      <c r="B7" s="14">
        <v>3</v>
      </c>
    </row>
    <row r="8" spans="1:5" ht="25.05" customHeight="1" x14ac:dyDescent="0.3">
      <c r="A8" s="15" t="s">
        <v>154</v>
      </c>
      <c r="B8" s="16">
        <v>3</v>
      </c>
    </row>
  </sheetData>
  <conditionalFormatting sqref="A3">
    <cfRule type="containsText" dxfId="28" priority="9" operator="containsText" text="High Risks">
      <formula>NOT(ISERROR(SEARCH("High Risks",A3)))</formula>
    </cfRule>
  </conditionalFormatting>
  <conditionalFormatting sqref="A4">
    <cfRule type="containsText" dxfId="27" priority="7" operator="containsText" text="Medium Risks">
      <formula>NOT(ISERROR(SEARCH("Medium Risks",A4)))</formula>
    </cfRule>
  </conditionalFormatting>
  <conditionalFormatting sqref="A6">
    <cfRule type="containsText" dxfId="26" priority="4" operator="containsText" text="Controls Passed">
      <formula>NOT(ISERROR(SEARCH("Controls Passed",A6)))</formula>
    </cfRule>
  </conditionalFormatting>
  <conditionalFormatting sqref="A7">
    <cfRule type="containsText" dxfId="25" priority="2" operator="containsText" text="Controls Failed">
      <formula>NOT(ISERROR(SEARCH("Controls Failed",A7)))</formula>
    </cfRule>
  </conditionalFormatting>
  <conditionalFormatting sqref="B3">
    <cfRule type="containsText" dxfId="24" priority="8" operator="containsText" text="3">
      <formula>NOT(ISERROR(SEARCH("3",B3)))</formula>
    </cfRule>
  </conditionalFormatting>
  <conditionalFormatting sqref="B4">
    <cfRule type="containsText" dxfId="23" priority="5" operator="containsText" text="2">
      <formula>NOT(ISERROR(SEARCH("2",B4)))</formula>
    </cfRule>
    <cfRule type="containsText" dxfId="22" priority="6" operator="containsText" text="2">
      <formula>NOT(ISERROR(SEARCH("2",B4)))</formula>
    </cfRule>
  </conditionalFormatting>
  <conditionalFormatting sqref="B6">
    <cfRule type="containsText" dxfId="21" priority="3" operator="containsText" text="2">
      <formula>NOT(ISERROR(SEARCH("2",B6)))</formula>
    </cfRule>
  </conditionalFormatting>
  <conditionalFormatting sqref="B7">
    <cfRule type="containsText" dxfId="20" priority="1" operator="containsText" text="3">
      <formula>NOT(ISERROR(SEARCH("3",B7)))</formula>
    </cfRule>
  </conditionalFormatting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Overview</vt:lpstr>
      <vt:lpstr>Asset Inventory</vt:lpstr>
      <vt:lpstr>Risk Register</vt:lpstr>
      <vt:lpstr>Risk Treatment</vt:lpstr>
      <vt:lpstr>Control Testing</vt:lpstr>
      <vt:lpstr>Evidence Tracker</vt:lpstr>
      <vt:lpstr>Finding Tracker</vt:lpstr>
      <vt:lpstr>Security Compliance Tracker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</dc:creator>
  <cp:lastModifiedBy>Rutuja</cp:lastModifiedBy>
  <dcterms:created xsi:type="dcterms:W3CDTF">2026-10-13T07:25:10Z</dcterms:created>
  <dcterms:modified xsi:type="dcterms:W3CDTF">2026-10-27T14:15:01Z</dcterms:modified>
</cp:coreProperties>
</file>